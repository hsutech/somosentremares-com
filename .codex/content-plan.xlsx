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4780f1525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1be45540959453b"/>
    <x:sheet xmlns:r="http://schemas.openxmlformats.org/officeDocument/2006/relationships" name="Keywords" sheetId="2" r:id="Rfabe8295ddde440f"/>
    <x:sheet xmlns:r="http://schemas.openxmlformats.org/officeDocument/2006/relationships" name="Calendario" sheetId="3" r:id="Re766949f3f204fd8"/>
    <x:sheet xmlns:r="http://schemas.openxmlformats.org/officeDocument/2006/relationships" name="Workflow artículo" sheetId="4" r:id="Rec538746c5a4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sz val="12"/>
      <x:color rgb="FF24374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7A6E"/>
      </x:patternFill>
    </x:fill>
    <x:fill>
      <x:patternFill patternType="solid">
        <x:fgColor rgb="FFF7FAFC"/>
      </x:patternFill>
    </x:fill>
    <x:fill>
      <x:patternFill patternType="solid">
        <x:fgColor rgb="FFEAF2F2"/>
      </x:patternFill>
    </x:fill>
  </x:fills>
  <x:borders count="10">
    <x:border/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/>
    </x:xf>
    <x:xf numFmtId="200" fontId="0" fillId="0" borderId="8" xfId="0" applyNumberFormat="1" applyFont="1" applyFill="1" applyBorder="1" applyAlignment="1">
      <x:alignment vertical="top"/>
    </x:xf>
    <x:xf numFmtId="200" fontId="0" fillId="0" borderId="9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6C43"/>
      </x:font>
      <x:fill>
        <x:patternFill patternType="solid">
          <x:bgColor rgb="FFDDF3E4"/>
        </x:patternFill>
      </x:fill>
    </x:dxf>
    <x:dxf>
      <x:font>
        <x:color rgb="FF7A5D00"/>
      </x:font>
      <x:fill>
        <x:patternFill patternType="solid">
          <x:bgColor rgb="FFFFF3CD"/>
        </x:patternFill>
      </x:fill>
    </x:dxf>
    <x:dxf>
      <x:font>
        <x:b/>
        <x:color rgb="FF146C43"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fbb68f6874556" /><Relationship Type="http://schemas.openxmlformats.org/officeDocument/2006/relationships/theme" Target="/xl/theme/theme1.xml" Id="Ref98b29e464a41e6" /><Relationship Type="http://schemas.openxmlformats.org/officeDocument/2006/relationships/sharedStrings" Target="/xl/sharedStrings.xml" Id="Rf9f5f0290f2745c6" /><Relationship Type="http://schemas.openxmlformats.org/officeDocument/2006/relationships/worksheet" Target="/xl/worksheets/sheet1.xml" Id="R71be45540959453b" /><Relationship Type="http://schemas.openxmlformats.org/officeDocument/2006/relationships/worksheet" Target="/xl/worksheets/sheet2.xml" Id="Rfabe8295ddde440f" /><Relationship Type="http://schemas.openxmlformats.org/officeDocument/2006/relationships/worksheet" Target="/xl/worksheets/sheet3.xml" Id="Re766949f3f204fd8" /><Relationship Type="http://schemas.openxmlformats.org/officeDocument/2006/relationships/worksheet" Target="/xl/worksheets/sheet4.xml" Id="Rec538746c5a44f8c" /></Relationships>
</file>

<file path=xl/tables/table1.xml><?xml version="1.0" encoding="utf-8"?>
<x:table xmlns:x="http://schemas.openxmlformats.org/spreadsheetml/2006/main" id="1" name="KeywordsTable" displayName="KeywordsTable" ref="A1:K31" headerRowCount="1" totalsRowCount="0" totalsRowShown="0">
  <x:tableColumns count="11">
    <x:tableColumn id="1" name="#"/>
    <x:tableColumn id="2" name="Keyword principal"/>
    <x:tableColumn id="3" name="Título propuesto"/>
    <x:tableColumn id="4" name="Formato"/>
    <x:tableColumn id="5" name="Intención"/>
    <x:tableColumn id="6" name="Funnel"/>
    <x:tableColumn id="7" name="Prioridad"/>
    <x:tableColumn id="8" name="Enlace interno"/>
    <x:tableColumn id="9" name="Validación SERP"/>
    <x:tableColumn id="10" name="Estado"/>
    <x:tableColumn id="11" name="Notas de valid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mainCalendarTable" displayName="DomainCalendarTable" ref="A1:L31" headerRowCount="1" totalsRowCount="0" totalsRowShown="0">
  <x:tableColumns count="12">
    <x:tableColumn id="1" name="Orden"/>
    <x:tableColumn id="2" name="Fecha propuesta"/>
    <x:tableColumn id="3" name="Keyword/topic"/>
    <x:tableColumn id="4" name="Prioridad"/>
    <x:tableColumn id="5" name="Validación"/>
    <x:tableColumn id="6" name="Redacción"/>
    <x:tableColumn id="7" name="Aprobación"/>
    <x:tableColumn id="8" name="Programación"/>
    <x:tableColumn id="9" name="Estado publicación"/>
    <x:tableColumn id="10" name="URL final"/>
    <x:tableColumn id="11" name="Imagen destacada"/>
    <x:tableColumn id="12" name="QA blog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WorkflowTable" displayName="WorkflowTable" ref="A1:C9" headerRowCount="1" totalsRowCount="0" totalsRowShown="0">
  <x:tableColumns count="3">
    <x:tableColumn id="1" name="Fase"/>
    <x:tableColumn id="2" name="Criterio obligatorio"/>
    <x:tableColumn id="3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5d695e76da45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9a24c3474744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0a743bdc8445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" hidden="0" customWidth="1"/>
    <x:col min="4" max="4" width="24" hidden="0" customWidth="1"/>
    <x:col min="5" max="5" width="24" hidden="0" customWidth="1"/>
  </x:cols>
  <x:sheetData>
    <x:row r="1" ht="34" customHeight="1">
      <x:c r="A1" s="3" t="str">
        <x:v>Plan SEO: somosentremares.com</x:v>
      </x:c>
      <x:c r="B1" s="3"/>
      <x:c r="C1" s="3"/>
      <x:c r="D1" s="3"/>
      <x:c r="E1" s="3"/>
      <x:c r="F1" s="3"/>
      <x:c r="G1" s="3"/>
      <x:c r="H1" s="3"/>
    </x:row>
    <x:row r="3">
      <x:c r="A3" s="5" t="str">
        <x:v>Campo</x:v>
      </x:c>
      <x:c r="B3" s="5" t="str">
        <x:v>Contexto del proyecto</x:v>
      </x:c>
      <x:c r="D3" s="5" t="str">
        <x:v>Indicador</x:v>
      </x:c>
      <x:c r="E3" s="5" t="str">
        <x:v>Valor</x:v>
      </x:c>
    </x:row>
    <x:row r="4">
      <x:c r="A4" s="19" t="str">
        <x:v>Empresa</x:v>
      </x:c>
      <x:c r="B4" s="20" t="str">
        <x:v>Entre Mares</x:v>
      </x:c>
      <x:c r="D4" s="7" t="str">
        <x:v>Topics totales</x:v>
      </x:c>
      <x:c r="E4" s="8" t="n">
        <x:f>COUNTA('Keywords'!$B$2:$B$31)</x:f>
        <x:v>30</x:v>
      </x:c>
    </x:row>
    <x:row r="5">
      <x:c r="A5" s="21" t="str">
        <x:v>Dominio</x:v>
      </x:c>
      <x:c r="B5" s="22" t="str">
        <x:v>somosentremares.com</x:v>
      </x:c>
      <x:c r="D5" s="9" t="str">
        <x:v>Prioridad alta</x:v>
      </x:c>
      <x:c r="E5" s="10" t="n">
        <x:f>COUNTIF('Keywords'!$G$2:$G$31,"Alta")</x:f>
        <x:v>10</x:v>
      </x:c>
    </x:row>
    <x:row r="6">
      <x:c r="A6" s="21" t="str">
        <x:v>Mercado</x:v>
      </x:c>
      <x:c r="B6" s="22" t="str">
        <x:v>Peñíscola, Castellón, Spain</x:v>
      </x:c>
      <x:c r="D6" s="9" t="str">
        <x:v>Topics aprobados</x:v>
      </x:c>
      <x:c r="E6" s="10" t="n">
        <x:f>COUNTIF('Keywords'!$J$2:$J$31,"Aprobado")</x:f>
        <x:v>0</x:v>
      </x:c>
    </x:row>
    <x:row r="7">
      <x:c r="A7" s="21" t="str">
        <x:v>Idioma</x:v>
      </x:c>
      <x:c r="B7" s="22" t="str">
        <x:v>Español</x:v>
      </x:c>
      <x:c r="D7" s="9" t="str">
        <x:v>Publicados</x:v>
      </x:c>
      <x:c r="E7" s="10" t="n">
        <x:f>COUNTIF('Calendario'!$I$2:$I$31,"Publicado")</x:f>
        <x:v>0</x:v>
      </x:c>
    </x:row>
    <x:row r="8">
      <x:c r="A8" s="21" t="str">
        <x:v>SERP objetivo</x:v>
      </x:c>
      <x:c r="B8" s="22" t="str">
        <x:v>Google ES / Peñíscola y Castellón</x:v>
      </x:c>
      <x:c r="D8" s="11" t="str">
        <x:v>Cadencia</x:v>
      </x:c>
      <x:c r="E8" s="12" t="str">
        <x:v>1 turno cada 17 días</x:v>
      </x:c>
    </x:row>
    <x:row r="9">
      <x:c r="A9" s="23" t="str">
        <x:v>Ángulo local</x:v>
      </x:c>
      <x:c r="B9" s="24" t="str">
        <x:v>Peñíscola, Castellón y Mediterráneo</x:v>
      </x:c>
    </x:row>
    <x:row r="11">
      <x:c r="A11" s="5" t="str">
        <x:v>Instrucción para este proyecto</x:v>
      </x:c>
      <x:c r="B11" s="5"/>
      <x:c r="C11" s="5"/>
      <x:c r="D11" s="5"/>
      <x:c r="E11" s="5"/>
      <x:c r="F11" s="5"/>
      <x:c r="G11" s="5"/>
      <x:c r="H11" s="5"/>
    </x:row>
    <x:row r="12">
      <x:c r="A12" s="28" t="str">
        <x:v>Trabajar únicamente con somosentremares.com. Las 30 keywords son propuestas iniciales. Validar cada topic en Google ES / Peñíscola y Castellón y obtener aprobación antes de redactar o programar. No utilizar contexto, enlaces ni empresas de otros dominios del portfolio.</x:v>
      </x:c>
      <x:c r="B12" s="28"/>
      <x:c r="C12" s="28"/>
      <x:c r="D12" s="28"/>
      <x:c r="E12" s="28"/>
      <x:c r="F12" s="28"/>
      <x:c r="G12" s="28"/>
      <x:c r="H12" s="28"/>
    </x:row>
    <x:row r="13">
      <x:c r="A13" s="28"/>
      <x:c r="B13" s="28"/>
      <x:c r="C13" s="28"/>
      <x:c r="D13" s="28"/>
      <x:c r="E13" s="28"/>
      <x:c r="F13" s="28"/>
      <x:c r="G13" s="28"/>
      <x:c r="H13" s="28"/>
    </x:row>
    <x:row r="14">
      <x:c r="A14" s="28"/>
      <x:c r="B14" s="28"/>
      <x:c r="C14" s="28"/>
      <x:c r="D14" s="28"/>
      <x:c r="E14" s="28"/>
      <x:c r="F14" s="28"/>
      <x:c r="G14" s="28"/>
      <x:c r="H14" s="28"/>
    </x:row>
    <x:row r="15">
      <x:c r="A15" s="28"/>
      <x:c r="B15" s="28"/>
      <x:c r="C15" s="28"/>
      <x:c r="D15" s="28"/>
      <x:c r="E15" s="28"/>
      <x:c r="F15" s="28"/>
      <x:c r="G15" s="28"/>
      <x:c r="H15" s="28"/>
    </x:row>
  </x:sheetData>
  <x:mergeCells>
    <x:mergeCell ref="A1:H1"/>
    <x:mergeCell ref="A11:H11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2" hidden="0" customWidth="1"/>
    <x:col min="3" max="3" width="44" hidden="0" customWidth="1"/>
    <x:col min="4" max="4" width="21" hidden="0" customWidth="1"/>
    <x:col min="5" max="5" width="29" hidden="0" customWidth="1"/>
    <x:col min="6" max="6" width="10" hidden="0" customWidth="1"/>
    <x:col min="7" max="7" width="12" hidden="0" customWidth="1"/>
    <x:col min="8" max="8" width="28" hidden="0" customWidth="1"/>
    <x:col min="9" max="9" width="18" hidden="0" customWidth="1"/>
    <x:col min="10" max="10" width="18" hidden="0" customWidth="1"/>
    <x:col min="11" max="11" width="40" hidden="0" customWidth="1"/>
  </x:cols>
  <x:sheetData>
    <x:row r="1" ht="32" customHeight="1">
      <x:c r="A1" s="30" t="str">
        <x:v>#</x:v>
      </x:c>
      <x:c r="B1" s="30" t="str">
        <x:v>Keyword principal</x:v>
      </x:c>
      <x:c r="C1" s="30" t="str">
        <x:v>Título propuesto</x:v>
      </x:c>
      <x:c r="D1" s="30" t="str">
        <x:v>Formato</x:v>
      </x:c>
      <x:c r="E1" s="30" t="str">
        <x:v>Intención</x:v>
      </x:c>
      <x:c r="F1" s="30" t="str">
        <x:v>Funnel</x:v>
      </x:c>
      <x:c r="G1" s="30" t="str">
        <x:v>Prioridad</x:v>
      </x:c>
      <x:c r="H1" s="30" t="str">
        <x:v>Enlace interno</x:v>
      </x:c>
      <x:c r="I1" s="30" t="str">
        <x:v>Validación SERP</x:v>
      </x:c>
      <x:c r="J1" s="30" t="str">
        <x:v>Estado</x:v>
      </x:c>
      <x:c r="K1" s="30" t="str">
        <x:v>Notas de validación</x:v>
      </x:c>
    </x:row>
    <x:row r="2">
      <x:c r="A2" s="40" t="n">
        <x:v>1</x:v>
      </x:c>
      <x:c r="B2" s="49" t="str">
        <x:v>mejores regalos originales de Peñíscola</x:v>
      </x:c>
      <x:c r="C2" s="49" t="str">
        <x:v>Mejores regalos originales de Peñíscola</x:v>
      </x:c>
      <x:c r="D2" s="49" t="str">
        <x:v>Listicle</x:v>
      </x:c>
      <x:c r="E2" s="49" t="str">
        <x:v>Comercial / transaccional</x:v>
      </x:c>
      <x:c r="F2" s="49" t="str">
        <x:v>BOFU</x:v>
      </x:c>
      <x:c r="G2" s="49" t="str">
        <x:v>Alta</x:v>
      </x:c>
      <x:c r="H2" s="49" t="str">
        <x:v>Camisetas / sudaderas / regalos</x:v>
      </x:c>
      <x:c r="I2" s="49" t="str">
        <x:v>Pendiente SERP</x:v>
      </x:c>
      <x:c r="J2" s="49" t="str">
        <x:v>Pendiente validar</x:v>
      </x:c>
      <x:c r="K2" s="50" t="str"/>
    </x:row>
    <x:row r="3">
      <x:c r="A3" s="43" t="n">
        <x:v>2</x:v>
      </x:c>
      <x:c r="B3" s="51" t="str">
        <x:v>mejores souvenirs de Peñíscola</x:v>
      </x:c>
      <x:c r="C3" s="51" t="str">
        <x:v>Mejores souvenirs de Peñíscola</x:v>
      </x:c>
      <x:c r="D3" s="51" t="str">
        <x:v>Listicle</x:v>
      </x:c>
      <x:c r="E3" s="51" t="str">
        <x:v>Comercial / transaccional</x:v>
      </x:c>
      <x:c r="F3" s="51" t="str">
        <x:v>BOFU</x:v>
      </x:c>
      <x:c r="G3" s="51" t="str">
        <x:v>Alta</x:v>
      </x:c>
      <x:c r="H3" s="51" t="str">
        <x:v>Camisetas / sudaderas / regalos</x:v>
      </x:c>
      <x:c r="I3" s="51" t="str">
        <x:v>Pendiente SERP</x:v>
      </x:c>
      <x:c r="J3" s="51" t="str">
        <x:v>Pendiente validar</x:v>
      </x:c>
      <x:c r="K3" s="52" t="str"/>
    </x:row>
    <x:row r="4">
      <x:c r="A4" s="43" t="n">
        <x:v>3</x:v>
      </x:c>
      <x:c r="B4" s="51" t="str">
        <x:v>mejores camisetas de diseño mediterráneo</x:v>
      </x:c>
      <x:c r="C4" s="51" t="str">
        <x:v>Mejores camisetas de diseño mediterráneo</x:v>
      </x:c>
      <x:c r="D4" s="51" t="str">
        <x:v>Listicle</x:v>
      </x:c>
      <x:c r="E4" s="51" t="str">
        <x:v>Comercial / transaccional</x:v>
      </x:c>
      <x:c r="F4" s="51" t="str">
        <x:v>BOFU</x:v>
      </x:c>
      <x:c r="G4" s="51" t="str">
        <x:v>Alta</x:v>
      </x:c>
      <x:c r="H4" s="51" t="str">
        <x:v>Camisetas / sudaderas / regalos</x:v>
      </x:c>
      <x:c r="I4" s="51" t="str">
        <x:v>Pendiente SERP</x:v>
      </x:c>
      <x:c r="J4" s="51" t="str">
        <x:v>Pendiente validar</x:v>
      </x:c>
      <x:c r="K4" s="52" t="str"/>
    </x:row>
    <x:row r="5">
      <x:c r="A5" s="43" t="n">
        <x:v>4</x:v>
      </x:c>
      <x:c r="B5" s="51" t="str">
        <x:v>mejores sudaderas de diseño costero</x:v>
      </x:c>
      <x:c r="C5" s="51" t="str">
        <x:v>Mejores sudaderas de diseño costero</x:v>
      </x:c>
      <x:c r="D5" s="51" t="str">
        <x:v>Listicle</x:v>
      </x:c>
      <x:c r="E5" s="51" t="str">
        <x:v>Comercial / transaccional</x:v>
      </x:c>
      <x:c r="F5" s="51" t="str">
        <x:v>BOFU</x:v>
      </x:c>
      <x:c r="G5" s="51" t="str">
        <x:v>Alta</x:v>
      </x:c>
      <x:c r="H5" s="51" t="str">
        <x:v>Camisetas / sudaderas / regalos</x:v>
      </x:c>
      <x:c r="I5" s="51" t="str">
        <x:v>Pendiente SERP</x:v>
      </x:c>
      <x:c r="J5" s="51" t="str">
        <x:v>Pendiente validar</x:v>
      </x:c>
      <x:c r="K5" s="52" t="str"/>
    </x:row>
    <x:row r="6">
      <x:c r="A6" s="43" t="n">
        <x:v>5</x:v>
      </x:c>
      <x:c r="B6" s="51" t="str">
        <x:v>mejores marcas de ropa inspirada en el mar</x:v>
      </x:c>
      <x:c r="C6" s="51" t="str">
        <x:v>Mejores marcas de ropa inspirada en el mar</x:v>
      </x:c>
      <x:c r="D6" s="51" t="str">
        <x:v>Listicle</x:v>
      </x:c>
      <x:c r="E6" s="51" t="str">
        <x:v>Comercial / transaccional</x:v>
      </x:c>
      <x:c r="F6" s="51" t="str">
        <x:v>BOFU</x:v>
      </x:c>
      <x:c r="G6" s="51" t="str">
        <x:v>Alta</x:v>
      </x:c>
      <x:c r="H6" s="51" t="str">
        <x:v>Camisetas / sudaderas / regalos</x:v>
      </x:c>
      <x:c r="I6" s="51" t="str">
        <x:v>Pendiente SERP</x:v>
      </x:c>
      <x:c r="J6" s="51" t="str">
        <x:v>Pendiente validar</x:v>
      </x:c>
      <x:c r="K6" s="52" t="str"/>
    </x:row>
    <x:row r="7">
      <x:c r="A7" s="43" t="n">
        <x:v>6</x:v>
      </x:c>
      <x:c r="B7" s="51" t="str">
        <x:v>mejores regalos para amantes del mar</x:v>
      </x:c>
      <x:c r="C7" s="51" t="str">
        <x:v>Mejores regalos para amantes del mar</x:v>
      </x:c>
      <x:c r="D7" s="51" t="str">
        <x:v>Listicle</x:v>
      </x:c>
      <x:c r="E7" s="51" t="str">
        <x:v>Comercial / transaccional</x:v>
      </x:c>
      <x:c r="F7" s="51" t="str">
        <x:v>BOFU</x:v>
      </x:c>
      <x:c r="G7" s="51" t="str">
        <x:v>Alta</x:v>
      </x:c>
      <x:c r="H7" s="51" t="str">
        <x:v>Camisetas / sudaderas / regalos</x:v>
      </x:c>
      <x:c r="I7" s="51" t="str">
        <x:v>Pendiente SERP</x:v>
      </x:c>
      <x:c r="J7" s="51" t="str">
        <x:v>Pendiente validar</x:v>
      </x:c>
      <x:c r="K7" s="52" t="str"/>
    </x:row>
    <x:row r="8">
      <x:c r="A8" s="43" t="n">
        <x:v>7</x:v>
      </x:c>
      <x:c r="B8" s="51" t="str">
        <x:v>mejores camisetas de Peñíscola</x:v>
      </x:c>
      <x:c r="C8" s="51" t="str">
        <x:v>Mejores camisetas de Peñíscola</x:v>
      </x:c>
      <x:c r="D8" s="51" t="str">
        <x:v>Listicle</x:v>
      </x:c>
      <x:c r="E8" s="51" t="str">
        <x:v>Comercial / transaccional</x:v>
      </x:c>
      <x:c r="F8" s="51" t="str">
        <x:v>BOFU</x:v>
      </x:c>
      <x:c r="G8" s="51" t="str">
        <x:v>Alta</x:v>
      </x:c>
      <x:c r="H8" s="51" t="str">
        <x:v>Camisetas / sudaderas / regalos</x:v>
      </x:c>
      <x:c r="I8" s="51" t="str">
        <x:v>Pendiente SERP</x:v>
      </x:c>
      <x:c r="J8" s="51" t="str">
        <x:v>Pendiente validar</x:v>
      </x:c>
      <x:c r="K8" s="52" t="str"/>
    </x:row>
    <x:row r="9">
      <x:c r="A9" s="43" t="n">
        <x:v>8</x:v>
      </x:c>
      <x:c r="B9" s="51" t="str">
        <x:v>mejores recuerdos de viaje de Castellón</x:v>
      </x:c>
      <x:c r="C9" s="51" t="str">
        <x:v>Mejores recuerdos de viaje de Castellón</x:v>
      </x:c>
      <x:c r="D9" s="51" t="str">
        <x:v>Listicle</x:v>
      </x:c>
      <x:c r="E9" s="51" t="str">
        <x:v>Comercial / transaccional</x:v>
      </x:c>
      <x:c r="F9" s="51" t="str">
        <x:v>BOFU</x:v>
      </x:c>
      <x:c r="G9" s="51" t="str">
        <x:v>Alta</x:v>
      </x:c>
      <x:c r="H9" s="51" t="str">
        <x:v>Camisetas / sudaderas / regalos</x:v>
      </x:c>
      <x:c r="I9" s="51" t="str">
        <x:v>Pendiente SERP</x:v>
      </x:c>
      <x:c r="J9" s="51" t="str">
        <x:v>Pendiente validar</x:v>
      </x:c>
      <x:c r="K9" s="52" t="str"/>
    </x:row>
    <x:row r="10">
      <x:c r="A10" s="43" t="n">
        <x:v>9</x:v>
      </x:c>
      <x:c r="B10" s="51" t="str">
        <x:v>mejores regalos mediterráneos</x:v>
      </x:c>
      <x:c r="C10" s="51" t="str">
        <x:v>Mejores regalos mediterráneos</x:v>
      </x:c>
      <x:c r="D10" s="51" t="str">
        <x:v>Listicle</x:v>
      </x:c>
      <x:c r="E10" s="51" t="str">
        <x:v>Comercial / transaccional</x:v>
      </x:c>
      <x:c r="F10" s="51" t="str">
        <x:v>BOFU</x:v>
      </x:c>
      <x:c r="G10" s="51" t="str">
        <x:v>Alta</x:v>
      </x:c>
      <x:c r="H10" s="51" t="str">
        <x:v>Camisetas / sudaderas / regalos</x:v>
      </x:c>
      <x:c r="I10" s="51" t="str">
        <x:v>Pendiente SERP</x:v>
      </x:c>
      <x:c r="J10" s="51" t="str">
        <x:v>Pendiente validar</x:v>
      </x:c>
      <x:c r="K10" s="52" t="str"/>
    </x:row>
    <x:row r="11">
      <x:c r="A11" s="43" t="n">
        <x:v>10</x:v>
      </x:c>
      <x:c r="B11" s="51" t="str">
        <x:v>tiendas de regalos en Peñíscola opiniones</x:v>
      </x:c>
      <x:c r="C11" s="51" t="str">
        <x:v>Tiendas de regalos en Peñíscola opiniones</x:v>
      </x:c>
      <x:c r="D11" s="51" t="str">
        <x:v>Opiniones / review</x:v>
      </x:c>
      <x:c r="E11" s="51" t="str">
        <x:v>Comercial / transaccional</x:v>
      </x:c>
      <x:c r="F11" s="51" t="str">
        <x:v>BOFU</x:v>
      </x:c>
      <x:c r="G11" s="51" t="str">
        <x:v>Alta</x:v>
      </x:c>
      <x:c r="H11" s="51" t="str">
        <x:v>Camisetas / sudaderas / regalos</x:v>
      </x:c>
      <x:c r="I11" s="51" t="str">
        <x:v>Pendiente SERP</x:v>
      </x:c>
      <x:c r="J11" s="51" t="str">
        <x:v>Pendiente validar</x:v>
      </x:c>
      <x:c r="K11" s="52" t="str"/>
    </x:row>
    <x:row r="12">
      <x:c r="A12" s="43" t="n">
        <x:v>11</x:v>
      </x:c>
      <x:c r="B12" s="51" t="str">
        <x:v>dónde comprar souvenirs originales en Peñíscola</x:v>
      </x:c>
      <x:c r="C12" s="51" t="str">
        <x:v>Dónde comprar souvenirs originales en Peñíscola</x:v>
      </x:c>
      <x:c r="D12" s="51" t="str">
        <x:v>Dónde comprar</x:v>
      </x:c>
      <x:c r="E12" s="51" t="str">
        <x:v>Comercial / transaccional</x:v>
      </x:c>
      <x:c r="F12" s="51" t="str">
        <x:v>BOFU</x:v>
      </x:c>
      <x:c r="G12" s="51" t="str">
        <x:v>Media</x:v>
      </x:c>
      <x:c r="H12" s="51" t="str">
        <x:v>Camisetas / sudaderas / regalos</x:v>
      </x:c>
      <x:c r="I12" s="51" t="str">
        <x:v>Pendiente SERP</x:v>
      </x:c>
      <x:c r="J12" s="51" t="str">
        <x:v>Pendiente validar</x:v>
      </x:c>
      <x:c r="K12" s="52" t="str"/>
    </x:row>
    <x:row r="13">
      <x:c r="A13" s="43" t="n">
        <x:v>12</x:v>
      </x:c>
      <x:c r="B13" s="51" t="str">
        <x:v>dónde comprar camisetas en Peñíscola</x:v>
      </x:c>
      <x:c r="C13" s="51" t="str">
        <x:v>Dónde comprar camisetas en Peñíscola</x:v>
      </x:c>
      <x:c r="D13" s="51" t="str">
        <x:v>Dónde comprar</x:v>
      </x:c>
      <x:c r="E13" s="51" t="str">
        <x:v>Comercial / transaccional</x:v>
      </x:c>
      <x:c r="F13" s="51" t="str">
        <x:v>BOFU</x:v>
      </x:c>
      <x:c r="G13" s="51" t="str">
        <x:v>Media</x:v>
      </x:c>
      <x:c r="H13" s="51" t="str">
        <x:v>Camisetas / sudaderas / regalos</x:v>
      </x:c>
      <x:c r="I13" s="51" t="str">
        <x:v>Pendiente SERP</x:v>
      </x:c>
      <x:c r="J13" s="51" t="str">
        <x:v>Pendiente validar</x:v>
      </x:c>
      <x:c r="K13" s="52" t="str"/>
    </x:row>
    <x:row r="14">
      <x:c r="A14" s="43" t="n">
        <x:v>13</x:v>
      </x:c>
      <x:c r="B14" s="51" t="str">
        <x:v>souvenirs originales vs souvenirs típicos</x:v>
      </x:c>
      <x:c r="C14" s="51" t="str">
        <x:v>Souvenirs originales vs souvenirs típicos</x:v>
      </x:c>
      <x:c r="D14" s="51" t="str">
        <x:v>Comparativa</x:v>
      </x:c>
      <x:c r="E14" s="51" t="str">
        <x:v>Comercial</x:v>
      </x:c>
      <x:c r="F14" s="51" t="str">
        <x:v>BOFU</x:v>
      </x:c>
      <x:c r="G14" s="51" t="str">
        <x:v>Media</x:v>
      </x:c>
      <x:c r="H14" s="51" t="str">
        <x:v>Camisetas / sudaderas / regalos</x:v>
      </x:c>
      <x:c r="I14" s="51" t="str">
        <x:v>Pendiente SERP</x:v>
      </x:c>
      <x:c r="J14" s="51" t="str">
        <x:v>Pendiente validar</x:v>
      </x:c>
      <x:c r="K14" s="52" t="str"/>
    </x:row>
    <x:row r="15">
      <x:c r="A15" s="43" t="n">
        <x:v>14</x:v>
      </x:c>
      <x:c r="B15" s="51" t="str">
        <x:v>mejores regalos hechos por marcas locales</x:v>
      </x:c>
      <x:c r="C15" s="51" t="str">
        <x:v>Mejores regalos hechos por marcas locales</x:v>
      </x:c>
      <x:c r="D15" s="51" t="str">
        <x:v>Listicle</x:v>
      </x:c>
      <x:c r="E15" s="51" t="str">
        <x:v>Comercial / transaccional</x:v>
      </x:c>
      <x:c r="F15" s="51" t="str">
        <x:v>BOFU</x:v>
      </x:c>
      <x:c r="G15" s="51" t="str">
        <x:v>Media</x:v>
      </x:c>
      <x:c r="H15" s="51" t="str">
        <x:v>Camisetas / sudaderas / regalos</x:v>
      </x:c>
      <x:c r="I15" s="51" t="str">
        <x:v>Pendiente SERP</x:v>
      </x:c>
      <x:c r="J15" s="51" t="str">
        <x:v>Pendiente validar</x:v>
      </x:c>
      <x:c r="K15" s="52" t="str"/>
    </x:row>
    <x:row r="16">
      <x:c r="A16" s="43" t="n">
        <x:v>15</x:v>
      </x:c>
      <x:c r="B16" s="51" t="str">
        <x:v>mejores sudaderas para noches de costa</x:v>
      </x:c>
      <x:c r="C16" s="51" t="str">
        <x:v>Mejores sudaderas para noches de costa</x:v>
      </x:c>
      <x:c r="D16" s="51" t="str">
        <x:v>Listicle</x:v>
      </x:c>
      <x:c r="E16" s="51" t="str">
        <x:v>Comercial / transaccional</x:v>
      </x:c>
      <x:c r="F16" s="51" t="str">
        <x:v>BOFU</x:v>
      </x:c>
      <x:c r="G16" s="51" t="str">
        <x:v>Media</x:v>
      </x:c>
      <x:c r="H16" s="51" t="str">
        <x:v>Camisetas / sudaderas / regalos</x:v>
      </x:c>
      <x:c r="I16" s="51" t="str">
        <x:v>Pendiente SERP</x:v>
      </x:c>
      <x:c r="J16" s="51" t="str">
        <x:v>Pendiente validar</x:v>
      </x:c>
      <x:c r="K16" s="52" t="str"/>
    </x:row>
    <x:row r="17">
      <x:c r="A17" s="43" t="n">
        <x:v>16</x:v>
      </x:c>
      <x:c r="B17" s="51" t="str">
        <x:v>mejores camisetas para verano</x:v>
      </x:c>
      <x:c r="C17" s="51" t="str">
        <x:v>Mejores camisetas para verano</x:v>
      </x:c>
      <x:c r="D17" s="51" t="str">
        <x:v>Listicle</x:v>
      </x:c>
      <x:c r="E17" s="51" t="str">
        <x:v>Comercial / transaccional</x:v>
      </x:c>
      <x:c r="F17" s="51" t="str">
        <x:v>BOFU</x:v>
      </x:c>
      <x:c r="G17" s="51" t="str">
        <x:v>Media</x:v>
      </x:c>
      <x:c r="H17" s="51" t="str">
        <x:v>Camisetas / sudaderas / regalos</x:v>
      </x:c>
      <x:c r="I17" s="51" t="str">
        <x:v>Pendiente SERP</x:v>
      </x:c>
      <x:c r="J17" s="51" t="str">
        <x:v>Pendiente validar</x:v>
      </x:c>
      <x:c r="K17" s="52" t="str"/>
    </x:row>
    <x:row r="18">
      <x:c r="A18" s="43" t="n">
        <x:v>17</x:v>
      </x:c>
      <x:c r="B18" s="51" t="str">
        <x:v>mejores regalos para viajeros</x:v>
      </x:c>
      <x:c r="C18" s="51" t="str">
        <x:v>Mejores regalos para viajeros</x:v>
      </x:c>
      <x:c r="D18" s="51" t="str">
        <x:v>Listicle</x:v>
      </x:c>
      <x:c r="E18" s="51" t="str">
        <x:v>Comercial / transaccional</x:v>
      </x:c>
      <x:c r="F18" s="51" t="str">
        <x:v>BOFU</x:v>
      </x:c>
      <x:c r="G18" s="51" t="str">
        <x:v>Media</x:v>
      </x:c>
      <x:c r="H18" s="51" t="str">
        <x:v>Camisetas / sudaderas / regalos</x:v>
      </x:c>
      <x:c r="I18" s="51" t="str">
        <x:v>Pendiente SERP</x:v>
      </x:c>
      <x:c r="J18" s="51" t="str">
        <x:v>Pendiente validar</x:v>
      </x:c>
      <x:c r="K18" s="52" t="str"/>
    </x:row>
    <x:row r="19">
      <x:c r="A19" s="43" t="n">
        <x:v>18</x:v>
      </x:c>
      <x:c r="B19" s="51" t="str">
        <x:v>mejores detalles para amantes de la náutica</x:v>
      </x:c>
      <x:c r="C19" s="51" t="str">
        <x:v>Mejores detalles para amantes de la náutica</x:v>
      </x:c>
      <x:c r="D19" s="51" t="str">
        <x:v>Listicle</x:v>
      </x:c>
      <x:c r="E19" s="51" t="str">
        <x:v>Comercial / transaccional</x:v>
      </x:c>
      <x:c r="F19" s="51" t="str">
        <x:v>BOFU</x:v>
      </x:c>
      <x:c r="G19" s="51" t="str">
        <x:v>Media</x:v>
      </x:c>
      <x:c r="H19" s="51" t="str">
        <x:v>Camisetas / sudaderas / regalos</x:v>
      </x:c>
      <x:c r="I19" s="51" t="str">
        <x:v>Pendiente SERP</x:v>
      </x:c>
      <x:c r="J19" s="51" t="str">
        <x:v>Pendiente validar</x:v>
      </x:c>
      <x:c r="K19" s="52" t="str"/>
    </x:row>
    <x:row r="20">
      <x:c r="A20" s="43" t="n">
        <x:v>19</x:v>
      </x:c>
      <x:c r="B20" s="51" t="str">
        <x:v>mejores prendas de estilo marinero</x:v>
      </x:c>
      <x:c r="C20" s="51" t="str">
        <x:v>Mejores prendas de estilo marinero</x:v>
      </x:c>
      <x:c r="D20" s="51" t="str">
        <x:v>Listicle</x:v>
      </x:c>
      <x:c r="E20" s="51" t="str">
        <x:v>Comercial / transaccional</x:v>
      </x:c>
      <x:c r="F20" s="51" t="str">
        <x:v>BOFU</x:v>
      </x:c>
      <x:c r="G20" s="51" t="str">
        <x:v>Media</x:v>
      </x:c>
      <x:c r="H20" s="51" t="str">
        <x:v>Camisetas / sudaderas / regalos</x:v>
      </x:c>
      <x:c r="I20" s="51" t="str">
        <x:v>Pendiente SERP</x:v>
      </x:c>
      <x:c r="J20" s="51" t="str">
        <x:v>Pendiente validar</x:v>
      </x:c>
      <x:c r="K20" s="52" t="str"/>
    </x:row>
    <x:row r="21">
      <x:c r="A21" s="43" t="n">
        <x:v>20</x:v>
      </x:c>
      <x:c r="B21" s="51" t="str">
        <x:v>mejores regalos de Castellón</x:v>
      </x:c>
      <x:c r="C21" s="51" t="str">
        <x:v>Mejores regalos de Castellón</x:v>
      </x:c>
      <x:c r="D21" s="51" t="str">
        <x:v>Listicle</x:v>
      </x:c>
      <x:c r="E21" s="51" t="str">
        <x:v>Comercial / transaccional</x:v>
      </x:c>
      <x:c r="F21" s="51" t="str">
        <x:v>BOFU</x:v>
      </x:c>
      <x:c r="G21" s="51" t="str">
        <x:v>Media</x:v>
      </x:c>
      <x:c r="H21" s="51" t="str">
        <x:v>Camisetas / sudaderas / regalos</x:v>
      </x:c>
      <x:c r="I21" s="51" t="str">
        <x:v>Pendiente SERP</x:v>
      </x:c>
      <x:c r="J21" s="51" t="str">
        <x:v>Pendiente validar</x:v>
      </x:c>
      <x:c r="K21" s="52" t="str"/>
    </x:row>
    <x:row r="22">
      <x:c r="A22" s="43" t="n">
        <x:v>21</x:v>
      </x:c>
      <x:c r="B22" s="51" t="str">
        <x:v>cómo elegir un souvenir de calidad</x:v>
      </x:c>
      <x:c r="C22" s="51" t="str">
        <x:v>Cómo elegir un souvenir de calidad</x:v>
      </x:c>
      <x:c r="D22" s="51" t="str">
        <x:v>Guía comercial</x:v>
      </x:c>
      <x:c r="E22" s="51" t="str">
        <x:v>Informacional con salida comercial</x:v>
      </x:c>
      <x:c r="F22" s="51" t="str">
        <x:v>BOFU</x:v>
      </x:c>
      <x:c r="G22" s="51" t="str">
        <x:v>Baja</x:v>
      </x:c>
      <x:c r="H22" s="51" t="str">
        <x:v>Camisetas / sudaderas / regalos</x:v>
      </x:c>
      <x:c r="I22" s="51" t="str">
        <x:v>Pendiente SERP</x:v>
      </x:c>
      <x:c r="J22" s="51" t="str">
        <x:v>Pendiente validar</x:v>
      </x:c>
      <x:c r="K22" s="52" t="str"/>
    </x:row>
    <x:row r="23">
      <x:c r="A23" s="43" t="n">
        <x:v>22</x:v>
      </x:c>
      <x:c r="B23" s="51" t="str">
        <x:v>qué regalar de Peñíscola</x:v>
      </x:c>
      <x:c r="C23" s="51" t="str">
        <x:v>Qué regalar de Peñíscola</x:v>
      </x:c>
      <x:c r="D23" s="51" t="str">
        <x:v>Guía comercial</x:v>
      </x:c>
      <x:c r="E23" s="51" t="str">
        <x:v>Informacional con salida comercial</x:v>
      </x:c>
      <x:c r="F23" s="51" t="str">
        <x:v>BOFU</x:v>
      </x:c>
      <x:c r="G23" s="51" t="str">
        <x:v>Baja</x:v>
      </x:c>
      <x:c r="H23" s="51" t="str">
        <x:v>Camisetas / sudaderas / regalos</x:v>
      </x:c>
      <x:c r="I23" s="51" t="str">
        <x:v>Pendiente SERP</x:v>
      </x:c>
      <x:c r="J23" s="51" t="str">
        <x:v>Pendiente validar</x:v>
      </x:c>
      <x:c r="K23" s="52" t="str"/>
    </x:row>
    <x:row r="24">
      <x:c r="A24" s="43" t="n">
        <x:v>23</x:v>
      </x:c>
      <x:c r="B24" s="51" t="str">
        <x:v>qué ropa llevar a Peñíscola</x:v>
      </x:c>
      <x:c r="C24" s="51" t="str">
        <x:v>Qué ropa llevar a Peñíscola</x:v>
      </x:c>
      <x:c r="D24" s="51" t="str">
        <x:v>Guía comercial</x:v>
      </x:c>
      <x:c r="E24" s="51" t="str">
        <x:v>Informacional con salida comercial</x:v>
      </x:c>
      <x:c r="F24" s="51" t="str">
        <x:v>BOFU</x:v>
      </x:c>
      <x:c r="G24" s="51" t="str">
        <x:v>Baja</x:v>
      </x:c>
      <x:c r="H24" s="51" t="str">
        <x:v>Camisetas / sudaderas / regalos</x:v>
      </x:c>
      <x:c r="I24" s="51" t="str">
        <x:v>Pendiente SERP</x:v>
      </x:c>
      <x:c r="J24" s="51" t="str">
        <x:v>Pendiente validar</x:v>
      </x:c>
      <x:c r="K24" s="52" t="str"/>
    </x:row>
    <x:row r="25">
      <x:c r="A25" s="43" t="n">
        <x:v>24</x:v>
      </x:c>
      <x:c r="B25" s="51" t="str">
        <x:v>mejores looks para vacaciones mediterráneas</x:v>
      </x:c>
      <x:c r="C25" s="51" t="str">
        <x:v>Mejores looks para vacaciones mediterráneas</x:v>
      </x:c>
      <x:c r="D25" s="51" t="str">
        <x:v>Listicle</x:v>
      </x:c>
      <x:c r="E25" s="51" t="str">
        <x:v>Comercial / transaccional</x:v>
      </x:c>
      <x:c r="F25" s="51" t="str">
        <x:v>BOFU</x:v>
      </x:c>
      <x:c r="G25" s="51" t="str">
        <x:v>Baja</x:v>
      </x:c>
      <x:c r="H25" s="51" t="str">
        <x:v>Camisetas / sudaderas / regalos</x:v>
      </x:c>
      <x:c r="I25" s="51" t="str">
        <x:v>Pendiente SERP</x:v>
      </x:c>
      <x:c r="J25" s="51" t="str">
        <x:v>Pendiente validar</x:v>
      </x:c>
      <x:c r="K25" s="52" t="str"/>
    </x:row>
    <x:row r="26">
      <x:c r="A26" s="43" t="n">
        <x:v>25</x:v>
      </x:c>
      <x:c r="B26" s="51" t="str">
        <x:v>algodón vs poliéster en camisetas</x:v>
      </x:c>
      <x:c r="C26" s="51" t="str">
        <x:v>Algodón vs poliéster en camisetas</x:v>
      </x:c>
      <x:c r="D26" s="51" t="str">
        <x:v>Comparativa</x:v>
      </x:c>
      <x:c r="E26" s="51" t="str">
        <x:v>Comercial</x:v>
      </x:c>
      <x:c r="F26" s="51" t="str">
        <x:v>BOFU</x:v>
      </x:c>
      <x:c r="G26" s="51" t="str">
        <x:v>Baja</x:v>
      </x:c>
      <x:c r="H26" s="51" t="str">
        <x:v>Camisetas / sudaderas / regalos</x:v>
      </x:c>
      <x:c r="I26" s="51" t="str">
        <x:v>Pendiente SERP</x:v>
      </x:c>
      <x:c r="J26" s="51" t="str">
        <x:v>Pendiente validar</x:v>
      </x:c>
      <x:c r="K26" s="52" t="str"/>
    </x:row>
    <x:row r="27">
      <x:c r="A27" s="43" t="n">
        <x:v>26</x:v>
      </x:c>
      <x:c r="B27" s="51" t="str">
        <x:v>cómo cuidar camisetas estampadas</x:v>
      </x:c>
      <x:c r="C27" s="51" t="str">
        <x:v>Cómo cuidar camisetas estampadas</x:v>
      </x:c>
      <x:c r="D27" s="51" t="str">
        <x:v>Guía comercial</x:v>
      </x:c>
      <x:c r="E27" s="51" t="str">
        <x:v>Informacional con salida comercial</x:v>
      </x:c>
      <x:c r="F27" s="51" t="str">
        <x:v>BOFU</x:v>
      </x:c>
      <x:c r="G27" s="51" t="str">
        <x:v>Baja</x:v>
      </x:c>
      <x:c r="H27" s="51" t="str">
        <x:v>Camisetas / sudaderas / regalos</x:v>
      </x:c>
      <x:c r="I27" s="51" t="str">
        <x:v>Pendiente SERP</x:v>
      </x:c>
      <x:c r="J27" s="51" t="str">
        <x:v>Pendiente validar</x:v>
      </x:c>
      <x:c r="K27" s="52" t="str"/>
    </x:row>
    <x:row r="28">
      <x:c r="A28" s="43" t="n">
        <x:v>27</x:v>
      </x:c>
      <x:c r="B28" s="51" t="str">
        <x:v>alternativas a los souvenirs genéricos</x:v>
      </x:c>
      <x:c r="C28" s="51" t="str">
        <x:v>Alternativas a los souvenirs genéricos</x:v>
      </x:c>
      <x:c r="D28" s="51" t="str">
        <x:v>Alternativas</x:v>
      </x:c>
      <x:c r="E28" s="51" t="str">
        <x:v>Comercial / transaccional</x:v>
      </x:c>
      <x:c r="F28" s="51" t="str">
        <x:v>BOFU</x:v>
      </x:c>
      <x:c r="G28" s="51" t="str">
        <x:v>Baja</x:v>
      </x:c>
      <x:c r="H28" s="51" t="str">
        <x:v>Camisetas / sudaderas / regalos</x:v>
      </x:c>
      <x:c r="I28" s="51" t="str">
        <x:v>Pendiente SERP</x:v>
      </x:c>
      <x:c r="J28" s="51" t="str">
        <x:v>Pendiente validar</x:v>
      </x:c>
      <x:c r="K28" s="52" t="str"/>
    </x:row>
    <x:row r="29">
      <x:c r="A29" s="43" t="n">
        <x:v>28</x:v>
      </x:c>
      <x:c r="B29" s="51" t="str">
        <x:v>marcas de diseño local en Castellón</x:v>
      </x:c>
      <x:c r="C29" s="51" t="str">
        <x:v>Marcas de diseño local en Castellón</x:v>
      </x:c>
      <x:c r="D29" s="51" t="str">
        <x:v>Guía BOFU</x:v>
      </x:c>
      <x:c r="E29" s="51" t="str">
        <x:v>Informacional con salida comercial</x:v>
      </x:c>
      <x:c r="F29" s="51" t="str">
        <x:v>BOFU</x:v>
      </x:c>
      <x:c r="G29" s="51" t="str">
        <x:v>Baja</x:v>
      </x:c>
      <x:c r="H29" s="51" t="str">
        <x:v>Camisetas / sudaderas / regalos</x:v>
      </x:c>
      <x:c r="I29" s="51" t="str">
        <x:v>Pendiente SERP</x:v>
      </x:c>
      <x:c r="J29" s="51" t="str">
        <x:v>Pendiente validar</x:v>
      </x:c>
      <x:c r="K29" s="52" t="str"/>
    </x:row>
    <x:row r="30">
      <x:c r="A30" s="43" t="n">
        <x:v>29</x:v>
      </x:c>
      <x:c r="B30" s="51" t="str">
        <x:v>Entre Mares opiniones</x:v>
      </x:c>
      <x:c r="C30" s="51" t="str">
        <x:v>Entre Mares opiniones</x:v>
      </x:c>
      <x:c r="D30" s="51" t="str">
        <x:v>Opiniones / review</x:v>
      </x:c>
      <x:c r="E30" s="51" t="str">
        <x:v>Comercial / transaccional</x:v>
      </x:c>
      <x:c r="F30" s="51" t="str">
        <x:v>BOFU</x:v>
      </x:c>
      <x:c r="G30" s="51" t="str">
        <x:v>Baja</x:v>
      </x:c>
      <x:c r="H30" s="51" t="str">
        <x:v>Camisetas / sudaderas / regalos</x:v>
      </x:c>
      <x:c r="I30" s="51" t="str">
        <x:v>Pendiente SERP</x:v>
      </x:c>
      <x:c r="J30" s="51" t="str">
        <x:v>Pendiente validar</x:v>
      </x:c>
      <x:c r="K30" s="52" t="str"/>
    </x:row>
    <x:row r="31">
      <x:c r="A31" s="46" t="n">
        <x:v>30</x:v>
      </x:c>
      <x:c r="B31" s="53" t="str">
        <x:v>Entre Mares alternativas</x:v>
      </x:c>
      <x:c r="C31" s="53" t="str">
        <x:v>Entre Mares alternativas</x:v>
      </x:c>
      <x:c r="D31" s="53" t="str">
        <x:v>Alternativas</x:v>
      </x:c>
      <x:c r="E31" s="53" t="str">
        <x:v>Comercial / transaccional</x:v>
      </x:c>
      <x:c r="F31" s="53" t="str">
        <x:v>BOFU</x:v>
      </x:c>
      <x:c r="G31" s="53" t="str">
        <x:v>Baja</x:v>
      </x:c>
      <x:c r="H31" s="53" t="str">
        <x:v>Camisetas / sudaderas / regalos</x:v>
      </x:c>
      <x:c r="I31" s="53" t="str">
        <x:v>Pendiente SERP</x:v>
      </x:c>
      <x:c r="J31" s="53" t="str">
        <x:v>Pendiente validar</x:v>
      </x:c>
      <x:c r="K31" s="54" t="str"/>
    </x:row>
  </x:sheetData>
  <x:conditionalFormatting sqref="G2:G31">
    <x:cfRule type="containsText" dxfId="0" priority="1" operator="containsText" text="Alta"/>
  </x:conditionalFormatting>
  <x:conditionalFormatting sqref="I2:J31">
    <x:cfRule type="containsText" dxfId="1" priority="2" operator="containsText" text="Pendiente"/>
  </x:conditionalFormatting>
  <x:dataValidations count="3">
    <x:dataValidation type="list" sqref="G2:G31">
      <x:formula1>"Alta,Media,Baja"</x:formula1>
    </x:dataValidation>
    <x:dataValidation type="list" sqref="I2:I31">
      <x:formula1>"Pendiente SERP,Validado,Descartado"</x:formula1>
    </x:dataValidation>
    <x:dataValidation type="list" sqref="J2:J31">
      <x:formula1>"Pendiente validar,Aprobado,En redacción,Listo,Programado,Publicado,Descartado"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5d695e76da45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44" hidden="0" customWidth="1"/>
    <x:col min="4" max="4" width="12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32" hidden="0" customWidth="1"/>
    <x:col min="11" max="11" width="18" hidden="0" customWidth="1"/>
    <x:col min="12" max="12" width="16" hidden="0" customWidth="1"/>
  </x:cols>
  <x:sheetData>
    <x:row r="1" ht="32" customHeight="1">
      <x:c r="A1" s="30" t="str">
        <x:v>Orden</x:v>
      </x:c>
      <x:c r="B1" s="30" t="str">
        <x:v>Fecha propuesta</x:v>
      </x:c>
      <x:c r="C1" s="30" t="str">
        <x:v>Keyword/topic</x:v>
      </x:c>
      <x:c r="D1" s="30" t="str">
        <x:v>Prioridad</x:v>
      </x:c>
      <x:c r="E1" s="30" t="str">
        <x:v>Validación</x:v>
      </x:c>
      <x:c r="F1" s="30" t="str">
        <x:v>Redacción</x:v>
      </x:c>
      <x:c r="G1" s="30" t="str">
        <x:v>Aprobación</x:v>
      </x:c>
      <x:c r="H1" s="30" t="str">
        <x:v>Programación</x:v>
      </x:c>
      <x:c r="I1" s="30" t="str">
        <x:v>Estado publicación</x:v>
      </x:c>
      <x:c r="J1" s="30" t="str">
        <x:v>URL final</x:v>
      </x:c>
      <x:c r="K1" s="30" t="str">
        <x:v>Imagen destacada</x:v>
      </x:c>
      <x:c r="L1" s="30" t="str">
        <x:v>QA blog</x:v>
      </x:c>
    </x:row>
    <x:row r="2">
      <x:c r="A2" s="40" t="n">
        <x:v>1</x:v>
      </x:c>
      <x:c r="B2" s="55" t="n">
        <x:v>46232</x:v>
      </x:c>
      <x:c r="C2" s="49" t="str">
        <x:v>mejores regalos originales de Peñíscola</x:v>
      </x:c>
      <x:c r="D2" s="49" t="str">
        <x:v>Alta</x:v>
      </x:c>
      <x:c r="E2" s="49" t="str">
        <x:v>Pendiente SERP</x:v>
      </x:c>
      <x:c r="F2" s="49" t="str">
        <x:v>No redactado</x:v>
      </x:c>
      <x:c r="G2" s="49" t="str">
        <x:v>Pendiente</x:v>
      </x:c>
      <x:c r="H2" s="49" t="str">
        <x:v>No programado</x:v>
      </x:c>
      <x:c r="I2" s="49" t="str">
        <x:v>No publicado</x:v>
      </x:c>
      <x:c r="J2" s="49" t="str"/>
      <x:c r="K2" s="49" t="str">
        <x:v>Pendiente</x:v>
      </x:c>
      <x:c r="L2" s="50" t="str">
        <x:v>Pendiente</x:v>
      </x:c>
    </x:row>
    <x:row r="3">
      <x:c r="A3" s="43" t="n">
        <x:v>2</x:v>
      </x:c>
      <x:c r="B3" s="56" t="n">
        <x:v>46249</x:v>
      </x:c>
      <x:c r="C3" s="51" t="str">
        <x:v>mejores souvenirs de Peñíscola</x:v>
      </x:c>
      <x:c r="D3" s="51" t="str">
        <x:v>Alta</x:v>
      </x:c>
      <x:c r="E3" s="51" t="str">
        <x:v>Pendiente SERP</x:v>
      </x:c>
      <x:c r="F3" s="51" t="str">
        <x:v>No redactado</x:v>
      </x:c>
      <x:c r="G3" s="51" t="str">
        <x:v>Pendiente</x:v>
      </x:c>
      <x:c r="H3" s="51" t="str">
        <x:v>No programado</x:v>
      </x:c>
      <x:c r="I3" s="51" t="str">
        <x:v>No publicado</x:v>
      </x:c>
      <x:c r="J3" s="51" t="str"/>
      <x:c r="K3" s="51" t="str">
        <x:v>Pendiente</x:v>
      </x:c>
      <x:c r="L3" s="52" t="str">
        <x:v>Pendiente</x:v>
      </x:c>
    </x:row>
    <x:row r="4">
      <x:c r="A4" s="43" t="n">
        <x:v>3</x:v>
      </x:c>
      <x:c r="B4" s="56" t="n">
        <x:v>46266</x:v>
      </x:c>
      <x:c r="C4" s="51" t="str">
        <x:v>mejores camisetas de diseño mediterráneo</x:v>
      </x:c>
      <x:c r="D4" s="51" t="str">
        <x:v>Alta</x:v>
      </x:c>
      <x:c r="E4" s="51" t="str">
        <x:v>Pendiente SERP</x:v>
      </x:c>
      <x:c r="F4" s="51" t="str">
        <x:v>No redactado</x:v>
      </x:c>
      <x:c r="G4" s="51" t="str">
        <x:v>Pendiente</x:v>
      </x:c>
      <x:c r="H4" s="51" t="str">
        <x:v>No programado</x:v>
      </x:c>
      <x:c r="I4" s="51" t="str">
        <x:v>No publicado</x:v>
      </x:c>
      <x:c r="J4" s="51" t="str"/>
      <x:c r="K4" s="51" t="str">
        <x:v>Pendiente</x:v>
      </x:c>
      <x:c r="L4" s="52" t="str">
        <x:v>Pendiente</x:v>
      </x:c>
    </x:row>
    <x:row r="5">
      <x:c r="A5" s="43" t="n">
        <x:v>4</x:v>
      </x:c>
      <x:c r="B5" s="56" t="n">
        <x:v>46283</x:v>
      </x:c>
      <x:c r="C5" s="51" t="str">
        <x:v>mejores sudaderas de diseño costero</x:v>
      </x:c>
      <x:c r="D5" s="51" t="str">
        <x:v>Alta</x:v>
      </x:c>
      <x:c r="E5" s="51" t="str">
        <x:v>Pendiente SERP</x:v>
      </x:c>
      <x:c r="F5" s="51" t="str">
        <x:v>No redactado</x:v>
      </x:c>
      <x:c r="G5" s="51" t="str">
        <x:v>Pendiente</x:v>
      </x:c>
      <x:c r="H5" s="51" t="str">
        <x:v>No programado</x:v>
      </x:c>
      <x:c r="I5" s="51" t="str">
        <x:v>No publicado</x:v>
      </x:c>
      <x:c r="J5" s="51" t="str"/>
      <x:c r="K5" s="51" t="str">
        <x:v>Pendiente</x:v>
      </x:c>
      <x:c r="L5" s="52" t="str">
        <x:v>Pendiente</x:v>
      </x:c>
    </x:row>
    <x:row r="6">
      <x:c r="A6" s="43" t="n">
        <x:v>5</x:v>
      </x:c>
      <x:c r="B6" s="56" t="n">
        <x:v>46300</x:v>
      </x:c>
      <x:c r="C6" s="51" t="str">
        <x:v>mejores marcas de ropa inspirada en el mar</x:v>
      </x:c>
      <x:c r="D6" s="51" t="str">
        <x:v>Alta</x:v>
      </x:c>
      <x:c r="E6" s="51" t="str">
        <x:v>Pendiente SERP</x:v>
      </x:c>
      <x:c r="F6" s="51" t="str">
        <x:v>No redactado</x:v>
      </x:c>
      <x:c r="G6" s="51" t="str">
        <x:v>Pendiente</x:v>
      </x:c>
      <x:c r="H6" s="51" t="str">
        <x:v>No programado</x:v>
      </x:c>
      <x:c r="I6" s="51" t="str">
        <x:v>No publicado</x:v>
      </x:c>
      <x:c r="J6" s="51" t="str"/>
      <x:c r="K6" s="51" t="str">
        <x:v>Pendiente</x:v>
      </x:c>
      <x:c r="L6" s="52" t="str">
        <x:v>Pendiente</x:v>
      </x:c>
    </x:row>
    <x:row r="7">
      <x:c r="A7" s="43" t="n">
        <x:v>6</x:v>
      </x:c>
      <x:c r="B7" s="56" t="n">
        <x:v>46317</x:v>
      </x:c>
      <x:c r="C7" s="51" t="str">
        <x:v>mejores regalos para amantes del mar</x:v>
      </x:c>
      <x:c r="D7" s="51" t="str">
        <x:v>Alta</x:v>
      </x:c>
      <x:c r="E7" s="51" t="str">
        <x:v>Pendiente SERP</x:v>
      </x:c>
      <x:c r="F7" s="51" t="str">
        <x:v>No redactado</x:v>
      </x:c>
      <x:c r="G7" s="51" t="str">
        <x:v>Pendiente</x:v>
      </x:c>
      <x:c r="H7" s="51" t="str">
        <x:v>No programado</x:v>
      </x:c>
      <x:c r="I7" s="51" t="str">
        <x:v>No publicado</x:v>
      </x:c>
      <x:c r="J7" s="51" t="str"/>
      <x:c r="K7" s="51" t="str">
        <x:v>Pendiente</x:v>
      </x:c>
      <x:c r="L7" s="52" t="str">
        <x:v>Pendiente</x:v>
      </x:c>
    </x:row>
    <x:row r="8">
      <x:c r="A8" s="43" t="n">
        <x:v>7</x:v>
      </x:c>
      <x:c r="B8" s="56" t="n">
        <x:v>46334</x:v>
      </x:c>
      <x:c r="C8" s="51" t="str">
        <x:v>mejores camisetas de Peñíscola</x:v>
      </x:c>
      <x:c r="D8" s="51" t="str">
        <x:v>Alta</x:v>
      </x:c>
      <x:c r="E8" s="51" t="str">
        <x:v>Pendiente SERP</x:v>
      </x:c>
      <x:c r="F8" s="51" t="str">
        <x:v>No redactado</x:v>
      </x:c>
      <x:c r="G8" s="51" t="str">
        <x:v>Pendiente</x:v>
      </x:c>
      <x:c r="H8" s="51" t="str">
        <x:v>No programado</x:v>
      </x:c>
      <x:c r="I8" s="51" t="str">
        <x:v>No publicado</x:v>
      </x:c>
      <x:c r="J8" s="51" t="str"/>
      <x:c r="K8" s="51" t="str">
        <x:v>Pendiente</x:v>
      </x:c>
      <x:c r="L8" s="52" t="str">
        <x:v>Pendiente</x:v>
      </x:c>
    </x:row>
    <x:row r="9">
      <x:c r="A9" s="43" t="n">
        <x:v>8</x:v>
      </x:c>
      <x:c r="B9" s="56" t="n">
        <x:v>46351</x:v>
      </x:c>
      <x:c r="C9" s="51" t="str">
        <x:v>mejores recuerdos de viaje de Castellón</x:v>
      </x:c>
      <x:c r="D9" s="51" t="str">
        <x:v>Alta</x:v>
      </x:c>
      <x:c r="E9" s="51" t="str">
        <x:v>Pendiente SERP</x:v>
      </x:c>
      <x:c r="F9" s="51" t="str">
        <x:v>No redactado</x:v>
      </x:c>
      <x:c r="G9" s="51" t="str">
        <x:v>Pendiente</x:v>
      </x:c>
      <x:c r="H9" s="51" t="str">
        <x:v>No programado</x:v>
      </x:c>
      <x:c r="I9" s="51" t="str">
        <x:v>No publicado</x:v>
      </x:c>
      <x:c r="J9" s="51" t="str"/>
      <x:c r="K9" s="51" t="str">
        <x:v>Pendiente</x:v>
      </x:c>
      <x:c r="L9" s="52" t="str">
        <x:v>Pendiente</x:v>
      </x:c>
    </x:row>
    <x:row r="10">
      <x:c r="A10" s="43" t="n">
        <x:v>9</x:v>
      </x:c>
      <x:c r="B10" s="56" t="n">
        <x:v>46368</x:v>
      </x:c>
      <x:c r="C10" s="51" t="str">
        <x:v>mejores regalos mediterráneos</x:v>
      </x:c>
      <x:c r="D10" s="51" t="str">
        <x:v>Alta</x:v>
      </x:c>
      <x:c r="E10" s="51" t="str">
        <x:v>Pendiente SERP</x:v>
      </x:c>
      <x:c r="F10" s="51" t="str">
        <x:v>No redactado</x:v>
      </x:c>
      <x:c r="G10" s="51" t="str">
        <x:v>Pendiente</x:v>
      </x:c>
      <x:c r="H10" s="51" t="str">
        <x:v>No programado</x:v>
      </x:c>
      <x:c r="I10" s="51" t="str">
        <x:v>No publicado</x:v>
      </x:c>
      <x:c r="J10" s="51" t="str"/>
      <x:c r="K10" s="51" t="str">
        <x:v>Pendiente</x:v>
      </x:c>
      <x:c r="L10" s="52" t="str">
        <x:v>Pendiente</x:v>
      </x:c>
    </x:row>
    <x:row r="11">
      <x:c r="A11" s="43" t="n">
        <x:v>10</x:v>
      </x:c>
      <x:c r="B11" s="56" t="n">
        <x:v>46385</x:v>
      </x:c>
      <x:c r="C11" s="51" t="str">
        <x:v>tiendas de regalos en Peñíscola opiniones</x:v>
      </x:c>
      <x:c r="D11" s="51" t="str">
        <x:v>Alta</x:v>
      </x:c>
      <x:c r="E11" s="51" t="str">
        <x:v>Pendiente SERP</x:v>
      </x:c>
      <x:c r="F11" s="51" t="str">
        <x:v>No redactado</x:v>
      </x:c>
      <x:c r="G11" s="51" t="str">
        <x:v>Pendiente</x:v>
      </x:c>
      <x:c r="H11" s="51" t="str">
        <x:v>No programado</x:v>
      </x:c>
      <x:c r="I11" s="51" t="str">
        <x:v>No publicado</x:v>
      </x:c>
      <x:c r="J11" s="51" t="str"/>
      <x:c r="K11" s="51" t="str">
        <x:v>Pendiente</x:v>
      </x:c>
      <x:c r="L11" s="52" t="str">
        <x:v>Pendiente</x:v>
      </x:c>
    </x:row>
    <x:row r="12">
      <x:c r="A12" s="43" t="n">
        <x:v>11</x:v>
      </x:c>
      <x:c r="B12" s="56" t="n">
        <x:v>46402</x:v>
      </x:c>
      <x:c r="C12" s="51" t="str">
        <x:v>dónde comprar souvenirs originales en Peñíscola</x:v>
      </x:c>
      <x:c r="D12" s="51" t="str">
        <x:v>Media</x:v>
      </x:c>
      <x:c r="E12" s="51" t="str">
        <x:v>Pendiente SERP</x:v>
      </x:c>
      <x:c r="F12" s="51" t="str">
        <x:v>No redactado</x:v>
      </x:c>
      <x:c r="G12" s="51" t="str">
        <x:v>Pendiente</x:v>
      </x:c>
      <x:c r="H12" s="51" t="str">
        <x:v>No programado</x:v>
      </x:c>
      <x:c r="I12" s="51" t="str">
        <x:v>No publicado</x:v>
      </x:c>
      <x:c r="J12" s="51" t="str"/>
      <x:c r="K12" s="51" t="str">
        <x:v>Pendiente</x:v>
      </x:c>
      <x:c r="L12" s="52" t="str">
        <x:v>Pendiente</x:v>
      </x:c>
    </x:row>
    <x:row r="13">
      <x:c r="A13" s="43" t="n">
        <x:v>12</x:v>
      </x:c>
      <x:c r="B13" s="56" t="n">
        <x:v>46419</x:v>
      </x:c>
      <x:c r="C13" s="51" t="str">
        <x:v>dónde comprar camisetas en Peñíscola</x:v>
      </x:c>
      <x:c r="D13" s="51" t="str">
        <x:v>Media</x:v>
      </x:c>
      <x:c r="E13" s="51" t="str">
        <x:v>Pendiente SERP</x:v>
      </x:c>
      <x:c r="F13" s="51" t="str">
        <x:v>No redactado</x:v>
      </x:c>
      <x:c r="G13" s="51" t="str">
        <x:v>Pendiente</x:v>
      </x:c>
      <x:c r="H13" s="51" t="str">
        <x:v>No programado</x:v>
      </x:c>
      <x:c r="I13" s="51" t="str">
        <x:v>No publicado</x:v>
      </x:c>
      <x:c r="J13" s="51" t="str"/>
      <x:c r="K13" s="51" t="str">
        <x:v>Pendiente</x:v>
      </x:c>
      <x:c r="L13" s="52" t="str">
        <x:v>Pendiente</x:v>
      </x:c>
    </x:row>
    <x:row r="14">
      <x:c r="A14" s="43" t="n">
        <x:v>13</x:v>
      </x:c>
      <x:c r="B14" s="56" t="n">
        <x:v>46436</x:v>
      </x:c>
      <x:c r="C14" s="51" t="str">
        <x:v>souvenirs originales vs souvenirs típicos</x:v>
      </x:c>
      <x:c r="D14" s="51" t="str">
        <x:v>Media</x:v>
      </x:c>
      <x:c r="E14" s="51" t="str">
        <x:v>Pendiente SERP</x:v>
      </x:c>
      <x:c r="F14" s="51" t="str">
        <x:v>No redactado</x:v>
      </x:c>
      <x:c r="G14" s="51" t="str">
        <x:v>Pendiente</x:v>
      </x:c>
      <x:c r="H14" s="51" t="str">
        <x:v>No programado</x:v>
      </x:c>
      <x:c r="I14" s="51" t="str">
        <x:v>No publicado</x:v>
      </x:c>
      <x:c r="J14" s="51" t="str"/>
      <x:c r="K14" s="51" t="str">
        <x:v>Pendiente</x:v>
      </x:c>
      <x:c r="L14" s="52" t="str">
        <x:v>Pendiente</x:v>
      </x:c>
    </x:row>
    <x:row r="15">
      <x:c r="A15" s="43" t="n">
        <x:v>14</x:v>
      </x:c>
      <x:c r="B15" s="56" t="n">
        <x:v>46453</x:v>
      </x:c>
      <x:c r="C15" s="51" t="str">
        <x:v>mejores regalos hechos por marcas locales</x:v>
      </x:c>
      <x:c r="D15" s="51" t="str">
        <x:v>Media</x:v>
      </x:c>
      <x:c r="E15" s="51" t="str">
        <x:v>Pendiente SERP</x:v>
      </x:c>
      <x:c r="F15" s="51" t="str">
        <x:v>No redactado</x:v>
      </x:c>
      <x:c r="G15" s="51" t="str">
        <x:v>Pendiente</x:v>
      </x:c>
      <x:c r="H15" s="51" t="str">
        <x:v>No programado</x:v>
      </x:c>
      <x:c r="I15" s="51" t="str">
        <x:v>No publicado</x:v>
      </x:c>
      <x:c r="J15" s="51" t="str"/>
      <x:c r="K15" s="51" t="str">
        <x:v>Pendiente</x:v>
      </x:c>
      <x:c r="L15" s="52" t="str">
        <x:v>Pendiente</x:v>
      </x:c>
    </x:row>
    <x:row r="16">
      <x:c r="A16" s="43" t="n">
        <x:v>15</x:v>
      </x:c>
      <x:c r="B16" s="56" t="n">
        <x:v>46470</x:v>
      </x:c>
      <x:c r="C16" s="51" t="str">
        <x:v>mejores sudaderas para noches de costa</x:v>
      </x:c>
      <x:c r="D16" s="51" t="str">
        <x:v>Media</x:v>
      </x:c>
      <x:c r="E16" s="51" t="str">
        <x:v>Pendiente SERP</x:v>
      </x:c>
      <x:c r="F16" s="51" t="str">
        <x:v>No redactado</x:v>
      </x:c>
      <x:c r="G16" s="51" t="str">
        <x:v>Pendiente</x:v>
      </x:c>
      <x:c r="H16" s="51" t="str">
        <x:v>No programado</x:v>
      </x:c>
      <x:c r="I16" s="51" t="str">
        <x:v>No publicado</x:v>
      </x:c>
      <x:c r="J16" s="51" t="str"/>
      <x:c r="K16" s="51" t="str">
        <x:v>Pendiente</x:v>
      </x:c>
      <x:c r="L16" s="52" t="str">
        <x:v>Pendiente</x:v>
      </x:c>
    </x:row>
    <x:row r="17">
      <x:c r="A17" s="43" t="n">
        <x:v>16</x:v>
      </x:c>
      <x:c r="B17" s="56" t="n">
        <x:v>46487</x:v>
      </x:c>
      <x:c r="C17" s="51" t="str">
        <x:v>mejores camisetas para verano</x:v>
      </x:c>
      <x:c r="D17" s="51" t="str">
        <x:v>Media</x:v>
      </x:c>
      <x:c r="E17" s="51" t="str">
        <x:v>Pendiente SERP</x:v>
      </x:c>
      <x:c r="F17" s="51" t="str">
        <x:v>No redactado</x:v>
      </x:c>
      <x:c r="G17" s="51" t="str">
        <x:v>Pendiente</x:v>
      </x:c>
      <x:c r="H17" s="51" t="str">
        <x:v>No programado</x:v>
      </x:c>
      <x:c r="I17" s="51" t="str">
        <x:v>No publicado</x:v>
      </x:c>
      <x:c r="J17" s="51" t="str"/>
      <x:c r="K17" s="51" t="str">
        <x:v>Pendiente</x:v>
      </x:c>
      <x:c r="L17" s="52" t="str">
        <x:v>Pendiente</x:v>
      </x:c>
    </x:row>
    <x:row r="18">
      <x:c r="A18" s="43" t="n">
        <x:v>17</x:v>
      </x:c>
      <x:c r="B18" s="56" t="n">
        <x:v>46504</x:v>
      </x:c>
      <x:c r="C18" s="51" t="str">
        <x:v>mejores regalos para viajeros</x:v>
      </x:c>
      <x:c r="D18" s="51" t="str">
        <x:v>Media</x:v>
      </x:c>
      <x:c r="E18" s="51" t="str">
        <x:v>Pendiente SERP</x:v>
      </x:c>
      <x:c r="F18" s="51" t="str">
        <x:v>No redactado</x:v>
      </x:c>
      <x:c r="G18" s="51" t="str">
        <x:v>Pendiente</x:v>
      </x:c>
      <x:c r="H18" s="51" t="str">
        <x:v>No programado</x:v>
      </x:c>
      <x:c r="I18" s="51" t="str">
        <x:v>No publicado</x:v>
      </x:c>
      <x:c r="J18" s="51" t="str"/>
      <x:c r="K18" s="51" t="str">
        <x:v>Pendiente</x:v>
      </x:c>
      <x:c r="L18" s="52" t="str">
        <x:v>Pendiente</x:v>
      </x:c>
    </x:row>
    <x:row r="19">
      <x:c r="A19" s="43" t="n">
        <x:v>18</x:v>
      </x:c>
      <x:c r="B19" s="56" t="n">
        <x:v>46521</x:v>
      </x:c>
      <x:c r="C19" s="51" t="str">
        <x:v>mejores detalles para amantes de la náutica</x:v>
      </x:c>
      <x:c r="D19" s="51" t="str">
        <x:v>Media</x:v>
      </x:c>
      <x:c r="E19" s="51" t="str">
        <x:v>Pendiente SERP</x:v>
      </x:c>
      <x:c r="F19" s="51" t="str">
        <x:v>No redactado</x:v>
      </x:c>
      <x:c r="G19" s="51" t="str">
        <x:v>Pendiente</x:v>
      </x:c>
      <x:c r="H19" s="51" t="str">
        <x:v>No programado</x:v>
      </x:c>
      <x:c r="I19" s="51" t="str">
        <x:v>No publicado</x:v>
      </x:c>
      <x:c r="J19" s="51" t="str"/>
      <x:c r="K19" s="51" t="str">
        <x:v>Pendiente</x:v>
      </x:c>
      <x:c r="L19" s="52" t="str">
        <x:v>Pendiente</x:v>
      </x:c>
    </x:row>
    <x:row r="20">
      <x:c r="A20" s="43" t="n">
        <x:v>19</x:v>
      </x:c>
      <x:c r="B20" s="56" t="n">
        <x:v>46538</x:v>
      </x:c>
      <x:c r="C20" s="51" t="str">
        <x:v>mejores prendas de estilo marinero</x:v>
      </x:c>
      <x:c r="D20" s="51" t="str">
        <x:v>Media</x:v>
      </x:c>
      <x:c r="E20" s="51" t="str">
        <x:v>Pendiente SERP</x:v>
      </x:c>
      <x:c r="F20" s="51" t="str">
        <x:v>No redactado</x:v>
      </x:c>
      <x:c r="G20" s="51" t="str">
        <x:v>Pendiente</x:v>
      </x:c>
      <x:c r="H20" s="51" t="str">
        <x:v>No programado</x:v>
      </x:c>
      <x:c r="I20" s="51" t="str">
        <x:v>No publicado</x:v>
      </x:c>
      <x:c r="J20" s="51" t="str"/>
      <x:c r="K20" s="51" t="str">
        <x:v>Pendiente</x:v>
      </x:c>
      <x:c r="L20" s="52" t="str">
        <x:v>Pendiente</x:v>
      </x:c>
    </x:row>
    <x:row r="21">
      <x:c r="A21" s="43" t="n">
        <x:v>20</x:v>
      </x:c>
      <x:c r="B21" s="56" t="n">
        <x:v>46555</x:v>
      </x:c>
      <x:c r="C21" s="51" t="str">
        <x:v>mejores regalos de Castellón</x:v>
      </x:c>
      <x:c r="D21" s="51" t="str">
        <x:v>Media</x:v>
      </x:c>
      <x:c r="E21" s="51" t="str">
        <x:v>Pendiente SERP</x:v>
      </x:c>
      <x:c r="F21" s="51" t="str">
        <x:v>No redactado</x:v>
      </x:c>
      <x:c r="G21" s="51" t="str">
        <x:v>Pendiente</x:v>
      </x:c>
      <x:c r="H21" s="51" t="str">
        <x:v>No programado</x:v>
      </x:c>
      <x:c r="I21" s="51" t="str">
        <x:v>No publicado</x:v>
      </x:c>
      <x:c r="J21" s="51" t="str"/>
      <x:c r="K21" s="51" t="str">
        <x:v>Pendiente</x:v>
      </x:c>
      <x:c r="L21" s="52" t="str">
        <x:v>Pendiente</x:v>
      </x:c>
    </x:row>
    <x:row r="22">
      <x:c r="A22" s="43" t="n">
        <x:v>21</x:v>
      </x:c>
      <x:c r="B22" s="56" t="n">
        <x:v>46572</x:v>
      </x:c>
      <x:c r="C22" s="51" t="str">
        <x:v>cómo elegir un souvenir de calidad</x:v>
      </x:c>
      <x:c r="D22" s="51" t="str">
        <x:v>Baja</x:v>
      </x:c>
      <x:c r="E22" s="51" t="str">
        <x:v>Pendiente SERP</x:v>
      </x:c>
      <x:c r="F22" s="51" t="str">
        <x:v>No redactado</x:v>
      </x:c>
      <x:c r="G22" s="51" t="str">
        <x:v>Pendiente</x:v>
      </x:c>
      <x:c r="H22" s="51" t="str">
        <x:v>No programado</x:v>
      </x:c>
      <x:c r="I22" s="51" t="str">
        <x:v>No publicado</x:v>
      </x:c>
      <x:c r="J22" s="51" t="str"/>
      <x:c r="K22" s="51" t="str">
        <x:v>Pendiente</x:v>
      </x:c>
      <x:c r="L22" s="52" t="str">
        <x:v>Pendiente</x:v>
      </x:c>
    </x:row>
    <x:row r="23">
      <x:c r="A23" s="43" t="n">
        <x:v>22</x:v>
      </x:c>
      <x:c r="B23" s="56" t="n">
        <x:v>46589</x:v>
      </x:c>
      <x:c r="C23" s="51" t="str">
        <x:v>qué regalar de Peñíscola</x:v>
      </x:c>
      <x:c r="D23" s="51" t="str">
        <x:v>Baja</x:v>
      </x:c>
      <x:c r="E23" s="51" t="str">
        <x:v>Pendiente SERP</x:v>
      </x:c>
      <x:c r="F23" s="51" t="str">
        <x:v>No redactado</x:v>
      </x:c>
      <x:c r="G23" s="51" t="str">
        <x:v>Pendiente</x:v>
      </x:c>
      <x:c r="H23" s="51" t="str">
        <x:v>No programado</x:v>
      </x:c>
      <x:c r="I23" s="51" t="str">
        <x:v>No publicado</x:v>
      </x:c>
      <x:c r="J23" s="51" t="str"/>
      <x:c r="K23" s="51" t="str">
        <x:v>Pendiente</x:v>
      </x:c>
      <x:c r="L23" s="52" t="str">
        <x:v>Pendiente</x:v>
      </x:c>
    </x:row>
    <x:row r="24">
      <x:c r="A24" s="43" t="n">
        <x:v>23</x:v>
      </x:c>
      <x:c r="B24" s="56" t="n">
        <x:v>46606</x:v>
      </x:c>
      <x:c r="C24" s="51" t="str">
        <x:v>qué ropa llevar a Peñíscola</x:v>
      </x:c>
      <x:c r="D24" s="51" t="str">
        <x:v>Baja</x:v>
      </x:c>
      <x:c r="E24" s="51" t="str">
        <x:v>Pendiente SERP</x:v>
      </x:c>
      <x:c r="F24" s="51" t="str">
        <x:v>No redactado</x:v>
      </x:c>
      <x:c r="G24" s="51" t="str">
        <x:v>Pendiente</x:v>
      </x:c>
      <x:c r="H24" s="51" t="str">
        <x:v>No programado</x:v>
      </x:c>
      <x:c r="I24" s="51" t="str">
        <x:v>No publicado</x:v>
      </x:c>
      <x:c r="J24" s="51" t="str"/>
      <x:c r="K24" s="51" t="str">
        <x:v>Pendiente</x:v>
      </x:c>
      <x:c r="L24" s="52" t="str">
        <x:v>Pendiente</x:v>
      </x:c>
    </x:row>
    <x:row r="25">
      <x:c r="A25" s="43" t="n">
        <x:v>24</x:v>
      </x:c>
      <x:c r="B25" s="56" t="n">
        <x:v>46623</x:v>
      </x:c>
      <x:c r="C25" s="51" t="str">
        <x:v>mejores looks para vacaciones mediterráneas</x:v>
      </x:c>
      <x:c r="D25" s="51" t="str">
        <x:v>Baja</x:v>
      </x:c>
      <x:c r="E25" s="51" t="str">
        <x:v>Pendiente SERP</x:v>
      </x:c>
      <x:c r="F25" s="51" t="str">
        <x:v>No redactado</x:v>
      </x:c>
      <x:c r="G25" s="51" t="str">
        <x:v>Pendiente</x:v>
      </x:c>
      <x:c r="H25" s="51" t="str">
        <x:v>No programado</x:v>
      </x:c>
      <x:c r="I25" s="51" t="str">
        <x:v>No publicado</x:v>
      </x:c>
      <x:c r="J25" s="51" t="str"/>
      <x:c r="K25" s="51" t="str">
        <x:v>Pendiente</x:v>
      </x:c>
      <x:c r="L25" s="52" t="str">
        <x:v>Pendiente</x:v>
      </x:c>
    </x:row>
    <x:row r="26">
      <x:c r="A26" s="43" t="n">
        <x:v>25</x:v>
      </x:c>
      <x:c r="B26" s="56" t="n">
        <x:v>46640</x:v>
      </x:c>
      <x:c r="C26" s="51" t="str">
        <x:v>algodón vs poliéster en camisetas</x:v>
      </x:c>
      <x:c r="D26" s="51" t="str">
        <x:v>Baja</x:v>
      </x:c>
      <x:c r="E26" s="51" t="str">
        <x:v>Pendiente SERP</x:v>
      </x:c>
      <x:c r="F26" s="51" t="str">
        <x:v>No redactado</x:v>
      </x:c>
      <x:c r="G26" s="51" t="str">
        <x:v>Pendiente</x:v>
      </x:c>
      <x:c r="H26" s="51" t="str">
        <x:v>No programado</x:v>
      </x:c>
      <x:c r="I26" s="51" t="str">
        <x:v>No publicado</x:v>
      </x:c>
      <x:c r="J26" s="51" t="str"/>
      <x:c r="K26" s="51" t="str">
        <x:v>Pendiente</x:v>
      </x:c>
      <x:c r="L26" s="52" t="str">
        <x:v>Pendiente</x:v>
      </x:c>
    </x:row>
    <x:row r="27">
      <x:c r="A27" s="43" t="n">
        <x:v>26</x:v>
      </x:c>
      <x:c r="B27" s="56" t="n">
        <x:v>46657</x:v>
      </x:c>
      <x:c r="C27" s="51" t="str">
        <x:v>cómo cuidar camisetas estampadas</x:v>
      </x:c>
      <x:c r="D27" s="51" t="str">
        <x:v>Baja</x:v>
      </x:c>
      <x:c r="E27" s="51" t="str">
        <x:v>Pendiente SERP</x:v>
      </x:c>
      <x:c r="F27" s="51" t="str">
        <x:v>No redactado</x:v>
      </x:c>
      <x:c r="G27" s="51" t="str">
        <x:v>Pendiente</x:v>
      </x:c>
      <x:c r="H27" s="51" t="str">
        <x:v>No programado</x:v>
      </x:c>
      <x:c r="I27" s="51" t="str">
        <x:v>No publicado</x:v>
      </x:c>
      <x:c r="J27" s="51" t="str"/>
      <x:c r="K27" s="51" t="str">
        <x:v>Pendiente</x:v>
      </x:c>
      <x:c r="L27" s="52" t="str">
        <x:v>Pendiente</x:v>
      </x:c>
    </x:row>
    <x:row r="28">
      <x:c r="A28" s="43" t="n">
        <x:v>27</x:v>
      </x:c>
      <x:c r="B28" s="56" t="n">
        <x:v>46674</x:v>
      </x:c>
      <x:c r="C28" s="51" t="str">
        <x:v>alternativas a los souvenirs genéricos</x:v>
      </x:c>
      <x:c r="D28" s="51" t="str">
        <x:v>Baja</x:v>
      </x:c>
      <x:c r="E28" s="51" t="str">
        <x:v>Pendiente SERP</x:v>
      </x:c>
      <x:c r="F28" s="51" t="str">
        <x:v>No redactado</x:v>
      </x:c>
      <x:c r="G28" s="51" t="str">
        <x:v>Pendiente</x:v>
      </x:c>
      <x:c r="H28" s="51" t="str">
        <x:v>No programado</x:v>
      </x:c>
      <x:c r="I28" s="51" t="str">
        <x:v>No publicado</x:v>
      </x:c>
      <x:c r="J28" s="51" t="str"/>
      <x:c r="K28" s="51" t="str">
        <x:v>Pendiente</x:v>
      </x:c>
      <x:c r="L28" s="52" t="str">
        <x:v>Pendiente</x:v>
      </x:c>
    </x:row>
    <x:row r="29">
      <x:c r="A29" s="43" t="n">
        <x:v>28</x:v>
      </x:c>
      <x:c r="B29" s="56" t="n">
        <x:v>46691</x:v>
      </x:c>
      <x:c r="C29" s="51" t="str">
        <x:v>marcas de diseño local en Castellón</x:v>
      </x:c>
      <x:c r="D29" s="51" t="str">
        <x:v>Baja</x:v>
      </x:c>
      <x:c r="E29" s="51" t="str">
        <x:v>Pendiente SERP</x:v>
      </x:c>
      <x:c r="F29" s="51" t="str">
        <x:v>No redactado</x:v>
      </x:c>
      <x:c r="G29" s="51" t="str">
        <x:v>Pendiente</x:v>
      </x:c>
      <x:c r="H29" s="51" t="str">
        <x:v>No programado</x:v>
      </x:c>
      <x:c r="I29" s="51" t="str">
        <x:v>No publicado</x:v>
      </x:c>
      <x:c r="J29" s="51" t="str"/>
      <x:c r="K29" s="51" t="str">
        <x:v>Pendiente</x:v>
      </x:c>
      <x:c r="L29" s="52" t="str">
        <x:v>Pendiente</x:v>
      </x:c>
    </x:row>
    <x:row r="30">
      <x:c r="A30" s="43" t="n">
        <x:v>29</x:v>
      </x:c>
      <x:c r="B30" s="56" t="n">
        <x:v>46708</x:v>
      </x:c>
      <x:c r="C30" s="51" t="str">
        <x:v>Entre Mares opiniones</x:v>
      </x:c>
      <x:c r="D30" s="51" t="str">
        <x:v>Baja</x:v>
      </x:c>
      <x:c r="E30" s="51" t="str">
        <x:v>Pendiente SERP</x:v>
      </x:c>
      <x:c r="F30" s="51" t="str">
        <x:v>No redactado</x:v>
      </x:c>
      <x:c r="G30" s="51" t="str">
        <x:v>Pendiente</x:v>
      </x:c>
      <x:c r="H30" s="51" t="str">
        <x:v>No programado</x:v>
      </x:c>
      <x:c r="I30" s="51" t="str">
        <x:v>No publicado</x:v>
      </x:c>
      <x:c r="J30" s="51" t="str"/>
      <x:c r="K30" s="51" t="str">
        <x:v>Pendiente</x:v>
      </x:c>
      <x:c r="L30" s="52" t="str">
        <x:v>Pendiente</x:v>
      </x:c>
    </x:row>
    <x:row r="31">
      <x:c r="A31" s="46" t="n">
        <x:v>30</x:v>
      </x:c>
      <x:c r="B31" s="57" t="n">
        <x:v>46725</x:v>
      </x:c>
      <x:c r="C31" s="53" t="str">
        <x:v>Entre Mares alternativas</x:v>
      </x:c>
      <x:c r="D31" s="53" t="str">
        <x:v>Baja</x:v>
      </x:c>
      <x:c r="E31" s="53" t="str">
        <x:v>Pendiente SERP</x:v>
      </x:c>
      <x:c r="F31" s="53" t="str">
        <x:v>No redactado</x:v>
      </x:c>
      <x:c r="G31" s="53" t="str">
        <x:v>Pendiente</x:v>
      </x:c>
      <x:c r="H31" s="53" t="str">
        <x:v>No programado</x:v>
      </x:c>
      <x:c r="I31" s="53" t="str">
        <x:v>No publicado</x:v>
      </x:c>
      <x:c r="J31" s="53" t="str"/>
      <x:c r="K31" s="53" t="str">
        <x:v>Pendiente</x:v>
      </x:c>
      <x:c r="L31" s="54" t="str">
        <x:v>Pendiente</x:v>
      </x:c>
    </x:row>
  </x:sheetData>
  <x:dataValidations count="7">
    <x:dataValidation type="list" sqref="D2:D31">
      <x:formula1>"Alta,Media,Baja"</x:formula1>
    </x:dataValidation>
    <x:dataValidation type="list" sqref="E2:E31">
      <x:formula1>"Pendiente SERP,Validado,Descartado"</x:formula1>
    </x:dataValidation>
    <x:dataValidation type="list" sqref="F2:F31">
      <x:formula1>"No redactado,En redacción,En revisión,Listo"</x:formula1>
    </x:dataValidation>
    <x:dataValidation type="list" sqref="G2:G31">
      <x:formula1>"Pendiente,Aprobado,Cambios"</x:formula1>
    </x:dataValidation>
    <x:dataValidation type="list" sqref="H2:H31">
      <x:formula1>"No programado,Programado"</x:formula1>
    </x:dataValidation>
    <x:dataValidation type="list" sqref="I2:I31">
      <x:formula1>"No publicado,Publicado,Error"</x:formula1>
    </x:dataValidation>
    <x:dataValidation type="list" sqref="K2:L31">
      <x:formula1>"Pendiente,OK,Corregir"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9a24c3474744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  <x:col min="3" max="3" width="16" hidden="0" customWidth="1"/>
  </x:cols>
  <x:sheetData>
    <x:row r="1" ht="30" customHeight="1">
      <x:c r="A1" s="29" t="str">
        <x:v>Fase</x:v>
      </x:c>
      <x:c r="B1" s="29" t="str">
        <x:v>Criterio obligatorio</x:v>
      </x:c>
      <x:c r="C1" s="29" t="str">
        <x:v>Estado</x:v>
      </x:c>
    </x:row>
    <x:row r="2" ht="46" customHeight="1">
      <x:c r="A2" s="67" t="str">
        <x:v>1. Validación SERP</x:v>
      </x:c>
      <x:c r="B2" s="49" t="str">
        <x:v>Revisar top 10 en el mercado local, intención, tipo de páginas, word count, autor, TOC, multimedia, enlaces y gaps.</x:v>
      </x:c>
      <x:c r="C2" s="50" t="str">
        <x:v>Pendiente</x:v>
      </x:c>
    </x:row>
    <x:row r="3" ht="46" customHeight="1">
      <x:c r="A3" s="68" t="str">
        <x:v>2. Decisión editorial</x:v>
      </x:c>
      <x:c r="B3" s="51" t="str">
        <x:v>Fijar formato, longitud objetivo (media SERP + 15-25%, mínimo 1.300 palabras), estructura diferencial y CTA suave.</x:v>
      </x:c>
      <x:c r="C3" s="52" t="str">
        <x:v>Pendiente</x:v>
      </x:c>
    </x:row>
    <x:row r="4" ht="46" customHeight="1">
      <x:c r="A4" s="68" t="str">
        <x:v>3. Redacción</x:v>
      </x:c>
      <x:c r="B4" s="51" t="str">
        <x:v>Incluir 3-4 enlaces internos, 3-4 externos, mención discreta de empresa, FAQs y tono del mercado.</x:v>
      </x:c>
      <x:c r="C4" s="52" t="str">
        <x:v>Pendiente</x:v>
      </x:c>
    </x:row>
    <x:row r="5" ht="46" customHeight="1">
      <x:c r="A5" s="68" t="str">
        <x:v>4. Multimedia</x:v>
      </x:c>
      <x:c r="B5" s="51" t="str">
        <x:v>Crear imagen destacada con alt descriptivo e incluir vídeo de YouTube solo cuando aporte utilidad o prueba.</x:v>
      </x:c>
      <x:c r="C5" s="52" t="str">
        <x:v>Pendiente</x:v>
      </x:c>
    </x:row>
    <x:row r="6" ht="46" customHeight="1">
      <x:c r="A6" s="68" t="str">
        <x:v>5. Revisión</x:v>
      </x:c>
      <x:c r="B6" s="51" t="str">
        <x:v>Comprobar exactitud, intención, originalidad, enlaces, metadatos, encabezados y ausencia de claims no verificables.</x:v>
      </x:c>
      <x:c r="C6" s="52" t="str">
        <x:v>Pendiente</x:v>
      </x:c>
    </x:row>
    <x:row r="7" ht="46" customHeight="1">
      <x:c r="A7" s="68" t="str">
        <x:v>6. Aprobación humana</x:v>
      </x:c>
      <x:c r="B7" s="51" t="str">
        <x:v>No programar hasta que topic, enfoque y artículo estén aprobados.</x:v>
      </x:c>
      <x:c r="C7" s="52" t="str">
        <x:v>Pendiente</x:v>
      </x:c>
    </x:row>
    <x:row r="8" ht="46" customHeight="1">
      <x:c r="A8" s="68" t="str">
        <x:v>7. Publicación</x:v>
      </x:c>
      <x:c r="B8" s="51" t="str">
        <x:v>Programar en el CMS, confirmar fecha, categoría, autor e imagen destacada.</x:v>
      </x:c>
      <x:c r="C8" s="52" t="str">
        <x:v>Pendiente</x:v>
      </x:c>
    </x:row>
    <x:row r="9" ht="46" customHeight="1">
      <x:c r="A9" s="69" t="str">
        <x:v>8. QA en blog</x:v>
      </x:c>
      <x:c r="B9" s="53" t="str">
        <x:v>Verificar URL, indexabilidad, diseño móvil, tabla de contenidos, enlaces, vídeo, imagen y aparición en el blog.</x:v>
      </x:c>
      <x:c r="C9" s="54" t="str">
        <x:v>Pendiente</x:v>
      </x:c>
    </x:row>
  </x:sheetData>
  <x:conditionalFormatting sqref="C2:C9">
    <x:cfRule type="containsText" dxfId="2" priority="1" operator="containsText" text="OK"/>
  </x:conditionalFormatting>
  <x:dataValidations count="1">
    <x:dataValidation type="list" sqref="C2:C9">
      <x:formula1>"Pendiente,En curso,OK,Corregir"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0a743bdc844532"/>
  </x:tableParts>
</x:worksheet>
</file>